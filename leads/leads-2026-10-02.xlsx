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ds" sheetId="2" state="visible" r:id="rId2"/>
  </sheets>
  <definedNames>
    <definedName name="_xlnm._FilterDatabase" localSheetId="1" hidden="1">'Leads'!$A$1:$P$33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</font>
    <font>
      <name val="Arial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F9DB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8" fillId="0" borderId="0" pivotButton="0" quotePrefix="0" xfId="0"/>
    <xf numFmtId="0" fontId="8" fillId="5" borderId="0" pivotButton="0" quotePrefix="0" xfId="0"/>
    <xf numFmtId="0" fontId="8" fillId="6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denelonmedical.com" TargetMode="External" Id="rId1" /><Relationship Type="http://schemas.openxmlformats.org/officeDocument/2006/relationships/hyperlink" Target="https://soul-sanctuary-shop.myshopify.com" TargetMode="External" Id="rId2" /><Relationship Type="http://schemas.openxmlformats.org/officeDocument/2006/relationships/hyperlink" Target="https://mylushmedspa.com" TargetMode="External" Id="rId3" /><Relationship Type="http://schemas.openxmlformats.org/officeDocument/2006/relationships/hyperlink" Target="https://kafedekasa.com" TargetMode="External" Id="rId4" /><Relationship Type="http://schemas.openxmlformats.org/officeDocument/2006/relationships/hyperlink" Target="https://bareskinstore.com" TargetMode="External" Id="rId5" /><Relationship Type="http://schemas.openxmlformats.org/officeDocument/2006/relationships/hyperlink" Target="https://beautyblvdsalon.com" TargetMode="External" Id="rId6" /><Relationship Type="http://schemas.openxmlformats.org/officeDocument/2006/relationships/hyperlink" Target="https://tastybiteminooka.com" TargetMode="External" Id="rId7" /><Relationship Type="http://schemas.openxmlformats.org/officeDocument/2006/relationships/hyperlink" Target="https://fithausfrankfort.com" TargetMode="External" Id="rId8" /><Relationship Type="http://schemas.openxmlformats.org/officeDocument/2006/relationships/hyperlink" Target="https://michaelspizzainc.com" TargetMode="External" Id="rId9" /><Relationship Type="http://schemas.openxmlformats.org/officeDocument/2006/relationships/hyperlink" Target="https://pdmsince1885.com" TargetMode="External" Id="rId10" /><Relationship Type="http://schemas.openxmlformats.org/officeDocument/2006/relationships/hyperlink" Target="https://ekgmedspa.com" TargetMode="External" Id="rId11" /><Relationship Type="http://schemas.openxmlformats.org/officeDocument/2006/relationships/hyperlink" Target="https://rcklawfirm.com" TargetMode="External" Id="rId12" /><Relationship Type="http://schemas.openxmlformats.org/officeDocument/2006/relationships/hyperlink" Target="https://jordansteelelaw.com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0" customWidth="1" min="3" max="3"/>
  </cols>
  <sheetData>
    <row r="1">
      <c r="A1" s="1" t="inlineStr">
        <is>
          <t>Paid Media Leads: 20 mi around Joliet, IL</t>
        </is>
      </c>
    </row>
    <row r="2">
      <c r="A2" s="2" t="inlineStr">
        <is>
          <t>Run date 2026-10-02. Source: web search + Tavily. Company-level data only, no personal contacts.</t>
        </is>
      </c>
    </row>
    <row r="4">
      <c r="A4" s="3" t="inlineStr">
        <is>
          <t>Tier</t>
        </is>
      </c>
      <c r="B4" s="3" t="inlineStr">
        <is>
          <t>Leads</t>
        </is>
      </c>
      <c r="C4" s="3" t="inlineStr">
        <is>
          <t>Meaning</t>
        </is>
      </c>
    </row>
    <row r="5">
      <c r="A5" s="4" t="inlineStr">
        <is>
          <t>Tier A</t>
        </is>
      </c>
      <c r="B5" s="5">
        <f>COUNTIF(Leads!$K$2:$K$33,"A")</f>
        <v/>
      </c>
      <c r="C5" s="5" t="inlineStr">
        <is>
          <t>Pursue now: strong fit + recent trigger</t>
        </is>
      </c>
    </row>
    <row r="6">
      <c r="A6" s="6" t="inlineStr">
        <is>
          <t>Tier B</t>
        </is>
      </c>
      <c r="B6" s="5">
        <f>COUNTIF(Leads!$K$2:$K$33,"B")</f>
        <v/>
      </c>
      <c r="C6" s="5" t="inlineStr">
        <is>
          <t>Nurture: good fit, weak/no trigger, or franchise with a trigger</t>
        </is>
      </c>
    </row>
    <row r="7">
      <c r="A7" s="7" t="inlineStr">
        <is>
          <t>Tier C</t>
        </is>
      </c>
      <c r="B7" s="5">
        <f>COUNTIF(Leads!$K$2:$K$33,"C")</f>
        <v/>
      </c>
      <c r="C7" s="5" t="inlineStr">
        <is>
          <t>Deprioritize: franchise or likely has an agency</t>
        </is>
      </c>
    </row>
    <row r="8">
      <c r="A8" s="3" t="inlineStr">
        <is>
          <t>Total</t>
        </is>
      </c>
      <c r="B8" s="3">
        <f>SUM(B5:B7)</f>
        <v/>
      </c>
    </row>
    <row r="10">
      <c r="A10" s="3" t="inlineStr">
        <is>
          <t>Pipeline</t>
        </is>
      </c>
    </row>
    <row r="11">
      <c r="A11" s="5" t="inlineStr">
        <is>
          <t>Not contacted</t>
        </is>
      </c>
      <c r="B11" s="5">
        <f>COUNTIF(Leads!$O$2:$O$33,"Not contacted")</f>
        <v/>
      </c>
    </row>
    <row r="12">
      <c r="A12" s="5" t="inlineStr">
        <is>
          <t>Contacted</t>
        </is>
      </c>
      <c r="B12" s="5">
        <f>COUNTIF(Leads!$O$2:$O$33,"Contacted")</f>
        <v/>
      </c>
    </row>
    <row r="13">
      <c r="A13" s="5" t="inlineStr">
        <is>
          <t>Follow up</t>
        </is>
      </c>
      <c r="B13" s="5">
        <f>COUNTIF(Leads!$O$2:$O$33,"Follow up")</f>
        <v/>
      </c>
    </row>
    <row r="14">
      <c r="A14" s="5" t="inlineStr">
        <is>
          <t>Meeting booked</t>
        </is>
      </c>
      <c r="B14" s="5">
        <f>COUNTIF(Leads!$O$2:$O$33,"Meeting booked")</f>
        <v/>
      </c>
    </row>
    <row r="15">
      <c r="A15" s="5" t="inlineStr">
        <is>
          <t>Proposal sent</t>
        </is>
      </c>
      <c r="B15" s="5">
        <f>COUNTIF(Leads!$O$2:$O$33,"Proposal sent")</f>
        <v/>
      </c>
    </row>
    <row r="16">
      <c r="A16" s="5" t="inlineStr">
        <is>
          <t>Won</t>
        </is>
      </c>
      <c r="B16" s="5">
        <f>COUNTIF(Leads!$O$2:$O$33,"Won")</f>
        <v/>
      </c>
    </row>
    <row r="17">
      <c r="A17" s="5" t="inlineStr">
        <is>
          <t>Lost</t>
        </is>
      </c>
      <c r="B17" s="5">
        <f>COUNTIF(Leads!$O$2:$O$33,"Lost")</f>
        <v/>
      </c>
    </row>
    <row r="19">
      <c r="A19" s="3" t="inlineStr">
        <is>
          <t>Ad check</t>
        </is>
      </c>
    </row>
    <row r="20">
      <c r="A20" s="5" t="inlineStr">
        <is>
          <t>Not checked</t>
        </is>
      </c>
      <c r="B20" s="5">
        <f>COUNTIF(Leads!$N$2:$N$33,"Not checked")</f>
        <v/>
      </c>
    </row>
    <row r="21">
      <c r="A21" s="5" t="inlineStr">
        <is>
          <t>No ads</t>
        </is>
      </c>
      <c r="B21" s="5">
        <f>COUNTIF(Leads!$N$2:$N$33,"No ads")</f>
        <v/>
      </c>
    </row>
    <row r="22">
      <c r="A22" s="5" t="inlineStr">
        <is>
          <t>Bad ads</t>
        </is>
      </c>
      <c r="B22" s="5">
        <f>COUNTIF(Leads!$N$2:$N$33,"Bad ads")</f>
        <v/>
      </c>
    </row>
    <row r="23">
      <c r="A23" s="5" t="inlineStr">
        <is>
          <t>Good ads (skip)</t>
        </is>
      </c>
      <c r="B23" s="5">
        <f>COUNTIF(Leads!$N$2:$N$33,"Good ads (skip)")</f>
        <v/>
      </c>
    </row>
    <row r="25">
      <c r="A25" s="3" t="inlineStr">
        <is>
          <t>Call first</t>
        </is>
      </c>
    </row>
    <row r="26">
      <c r="A26" s="5" t="inlineStr">
        <is>
          <t>L027 Michael's Pizza</t>
        </is>
      </c>
      <c r="C26" s="5" t="inlineStr">
        <is>
          <t>Joliet Restaurant Week starts Oct 9</t>
        </is>
      </c>
    </row>
    <row r="27">
      <c r="A27" s="5" t="inlineStr">
        <is>
          <t>L023 Bare Skin Company</t>
        </is>
      </c>
      <c r="C27" s="5" t="inlineStr">
        <is>
          <t>Opened Sep 12, only 5 Google reviews</t>
        </is>
      </c>
    </row>
    <row r="28">
      <c r="A28" s="5" t="inlineStr">
        <is>
          <t>L025 Tasty Bite</t>
        </is>
      </c>
      <c r="C28" s="5" t="inlineStr">
        <is>
          <t>2nd location w/ drive-thru coming</t>
        </is>
      </c>
    </row>
    <row r="29">
      <c r="A29" s="5" t="inlineStr">
        <is>
          <t>L024 Beauty BLVD Salon</t>
        </is>
      </c>
      <c r="C29" s="5" t="inlineStr">
        <is>
          <t>Opened Jun 26, head spa = Reels hook</t>
        </is>
      </c>
    </row>
    <row r="30">
      <c r="A30" s="5" t="inlineStr">
        <is>
          <t>L005 Kafé de Kasa</t>
        </is>
      </c>
      <c r="C30" s="5" t="inlineStr">
        <is>
          <t>Just expanded to 2 locations</t>
        </is>
      </c>
    </row>
    <row r="32">
      <c r="A32" s="3" t="inlineStr">
        <is>
          <t>How to use</t>
        </is>
      </c>
    </row>
    <row r="33">
      <c r="A33" s="8" t="inlineStr">
        <is>
          <t>Leads tab: edit only the yellow columns (Running ads?, Status, Notes). Both have dropdowns.</t>
        </is>
      </c>
    </row>
    <row r="34">
      <c r="A34" s="8" t="inlineStr">
        <is>
          <t>Running ads?: check facebook.com/ads/library and adstransparency.google.com before calling.</t>
        </is>
      </c>
    </row>
    <row r="35">
      <c r="A35" s="9" t="inlineStr">
        <is>
          <t>Example: Running ads? = No ads, Status = Contacted, Notes = Spoke w/ owner 10/3, call back Mon</t>
        </is>
      </c>
    </row>
    <row r="36">
      <c r="A36" s="8" t="inlineStr">
        <is>
          <t>Counts above are formulas and update as you change Status / Running ads?.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26" customWidth="1" min="3" max="3"/>
    <col width="30" customWidth="1" min="4" max="4"/>
    <col width="16" customWidth="1" min="5" max="5"/>
    <col width="24" customWidth="1" min="6" max="6"/>
    <col width="8" customWidth="1" min="7" max="7"/>
    <col width="40" customWidth="1" min="8" max="8"/>
    <col width="9" customWidth="1" min="9" max="9"/>
    <col width="44" customWidth="1" min="10" max="10"/>
    <col width="7" customWidth="1" min="11" max="11"/>
    <col width="55" customWidth="1" min="12" max="12"/>
    <col width="50" customWidth="1" min="13" max="13"/>
    <col width="16" customWidth="1" min="14" max="14"/>
    <col width="16" customWidth="1" min="15" max="15"/>
    <col width="30" customWidth="1" min="16" max="16"/>
  </cols>
  <sheetData>
    <row r="1" ht="30" customHeight="1">
      <c r="A1" s="10" t="inlineStr">
        <is>
          <t>ID</t>
        </is>
      </c>
      <c r="B1" s="10" t="inlineStr">
        <is>
          <t>Company</t>
        </is>
      </c>
      <c r="C1" s="10" t="inlineStr">
        <is>
          <t>Website</t>
        </is>
      </c>
      <c r="D1" s="10" t="inlineStr">
        <is>
          <t>Location</t>
        </is>
      </c>
      <c r="E1" s="10" t="inlineStr">
        <is>
          <t>Employees</t>
        </is>
      </c>
      <c r="F1" s="10" t="inlineStr">
        <is>
          <t>Industry</t>
        </is>
      </c>
      <c r="G1" s="10" t="inlineStr">
        <is>
          <t>Fit</t>
        </is>
      </c>
      <c r="H1" s="10" t="inlineStr">
        <is>
          <t>Fit reason</t>
        </is>
      </c>
      <c r="I1" s="10" t="inlineStr">
        <is>
          <t>Intent</t>
        </is>
      </c>
      <c r="J1" s="10" t="inlineStr">
        <is>
          <t>Trigger</t>
        </is>
      </c>
      <c r="K1" s="10" t="inlineStr">
        <is>
          <t>Tier</t>
        </is>
      </c>
      <c r="L1" s="10" t="inlineStr">
        <is>
          <t>Suggested angle</t>
        </is>
      </c>
      <c r="M1" s="10" t="inlineStr">
        <is>
          <t>Sources</t>
        </is>
      </c>
      <c r="N1" s="10" t="inlineStr">
        <is>
          <t>Running ads?</t>
        </is>
      </c>
      <c r="O1" s="10" t="inlineStr">
        <is>
          <t>Status</t>
        </is>
      </c>
      <c r="P1" s="10" t="inlineStr">
        <is>
          <t>Notes</t>
        </is>
      </c>
    </row>
    <row r="2">
      <c r="A2" s="11" t="inlineStr">
        <is>
          <t>L001</t>
        </is>
      </c>
      <c r="B2" s="11" t="inlineStr">
        <is>
          <t>Tru Country Bar &amp; Grill</t>
        </is>
      </c>
      <c r="C2" s="11" t="inlineStr">
        <is>
          <t>none (Facebook only)</t>
        </is>
      </c>
      <c r="D2" s="11" t="inlineStr">
        <is>
          <t>New Lenox, IL (2nd location; original in Channahon)</t>
        </is>
      </c>
      <c r="E2" s="11" t="inlineStr">
        <is>
          <t>unknown (small)</t>
        </is>
      </c>
      <c r="F2" s="11" t="inlineStr">
        <is>
          <t>Restaurant / bar</t>
        </is>
      </c>
      <c r="G2" s="11" t="inlineStr">
        <is>
          <t>High</t>
        </is>
      </c>
      <c r="H2" s="11" t="inlineStr">
        <is>
          <t>Independent, owner-operated, two locations inside radius</t>
        </is>
      </c>
      <c r="I2" s="11" t="inlineStr">
        <is>
          <t>High</t>
        </is>
      </c>
      <c r="J2" s="11" t="inlineStr">
        <is>
          <t>Opened 2nd location at 222 W Maple St, New Lenox, Apr 2026</t>
        </is>
      </c>
      <c r="K2" s="12" t="inlineStr">
        <is>
          <t>A</t>
        </is>
      </c>
      <c r="L2" s="11" t="inlineStr">
        <is>
          <t>New room to fill, and no website: build a simple landing page, then geo-fenced Meta ads around line dancing and live music nights. Google Ads won't work well without that page</t>
        </is>
      </c>
      <c r="M2" s="11" t="inlineStr">
        <is>
          <t>https://www.shawlocal.com/the-herald-news/2026/04/11/new-bar-and-grill-opens-in-new-lenox
https://hoodline.com/2024/08/new-life-for-new-lenox-tru-country-bar-and-grill-to-revamp-long-vacant-tj-s-venue/
https://www.facebook.com/p/Tru-Country-Channahon-61555647092105</t>
        </is>
      </c>
      <c r="N2" s="13" t="inlineStr">
        <is>
          <t>Not checked</t>
        </is>
      </c>
      <c r="O2" s="13" t="inlineStr">
        <is>
          <t>Not contacted</t>
        </is>
      </c>
      <c r="P2" s="13" t="n"/>
    </row>
    <row r="3">
      <c r="A3" s="11" t="inlineStr">
        <is>
          <t>L002</t>
        </is>
      </c>
      <c r="B3" s="11" t="inlineStr">
        <is>
          <t>Eden Elon Medical PLLC</t>
        </is>
      </c>
      <c r="C3" s="14" t="inlineStr">
        <is>
          <t>edenelonmedical.com</t>
        </is>
      </c>
      <c r="D3" s="11" t="inlineStr">
        <is>
          <t>Joliet, IL (310 N Hammes Ave)</t>
        </is>
      </c>
      <c r="E3" s="11" t="inlineStr">
        <is>
          <t>unknown (small)</t>
        </is>
      </c>
      <c r="F3" s="11" t="inlineStr">
        <is>
          <t>Health / primary care (NP-led)</t>
        </is>
      </c>
      <c r="G3" s="11" t="inlineStr">
        <is>
          <t>High</t>
        </is>
      </c>
      <c r="H3" s="11" t="inlineStr">
        <is>
          <t>Independent local practice in Joliet, health vertical</t>
        </is>
      </c>
      <c r="I3" s="11" t="inlineStr">
        <is>
          <t>High</t>
        </is>
      </c>
      <c r="J3" s="11" t="inlineStr">
        <is>
          <t>Grand opening ribbon cutting with Joliet Chamber, Jul 9 2026</t>
        </is>
      </c>
      <c r="K3" s="12" t="inlineStr">
        <is>
          <t>A</t>
        </is>
      </c>
      <c r="L3" s="11" t="inlineStr">
        <is>
          <t>Fresh expansion means empty appointment slots: Google Search for 'primary care Joliet' plus Meta new-patient offers</t>
        </is>
      </c>
      <c r="M3" s="11" t="inlineStr">
        <is>
          <t>https://www.edenelonmedical.com
https://www.burbio.com/states/Illinois/Joliet/joliet-region-chamber-of-commerce-industry
https://www.tebra.com/care/provider/ebony-belle-johnson-fnp-bc-1841736642</t>
        </is>
      </c>
      <c r="N3" s="13" t="inlineStr">
        <is>
          <t>Not checked</t>
        </is>
      </c>
      <c r="O3" s="13" t="inlineStr">
        <is>
          <t>Not contacted</t>
        </is>
      </c>
      <c r="P3" s="13" t="n"/>
    </row>
    <row r="4">
      <c r="A4" s="11" t="inlineStr">
        <is>
          <t>L003</t>
        </is>
      </c>
      <c r="B4" s="11" t="inlineStr">
        <is>
          <t>Soul Sanctuary Shop</t>
        </is>
      </c>
      <c r="C4" s="14" t="inlineStr">
        <is>
          <t>soul-sanctuary-shop.myshopify.com</t>
        </is>
      </c>
      <c r="D4" s="11" t="inlineStr">
        <is>
          <t>Joliet, IL (600 Theodore St, Suite A)</t>
        </is>
      </c>
      <c r="E4" s="11" t="inlineStr">
        <is>
          <t>unknown (micro)</t>
        </is>
      </c>
      <c r="F4" s="11" t="inlineStr">
        <is>
          <t>Retail</t>
        </is>
      </c>
      <c r="G4" s="11" t="inlineStr">
        <is>
          <t>High</t>
        </is>
      </c>
      <c r="H4" s="11" t="inlineStr">
        <is>
          <t>Independent local retail in Joliet</t>
        </is>
      </c>
      <c r="I4" s="11" t="inlineStr">
        <is>
          <t>High</t>
        </is>
      </c>
      <c r="J4" s="11" t="inlineStr">
        <is>
          <t>Opened first storefront + Chamber ribbon cutting, Jul 2026 (owner made wax melts 11 yrs before storefront)</t>
        </is>
      </c>
      <c r="K4" s="12" t="inlineStr">
        <is>
          <t>A</t>
        </is>
      </c>
      <c r="L4" s="11" t="inlineStr">
        <is>
          <t>Has a Shopify store already: Meta ads can sell online AND drive foot traffic. Catalog ads for wax melts are cheap to test</t>
        </is>
      </c>
      <c r="M4" s="11" t="inlineStr">
        <is>
          <t>https://www.shawlocal.com/the-herald-news/2026/07/05/aromatherapy-shop-opens-new-storefront-in-joliet
https://soul-sanctuary-shop.myshopify.com</t>
        </is>
      </c>
      <c r="N4" s="13" t="inlineStr">
        <is>
          <t>Not checked</t>
        </is>
      </c>
      <c r="O4" s="13" t="inlineStr">
        <is>
          <t>Not contacted</t>
        </is>
      </c>
      <c r="P4" s="13" t="n"/>
    </row>
    <row r="5">
      <c r="A5" s="11" t="inlineStr">
        <is>
          <t>L004</t>
        </is>
      </c>
      <c r="B5" s="11" t="inlineStr">
        <is>
          <t>LUSH MedSpa</t>
        </is>
      </c>
      <c r="C5" s="14" t="inlineStr">
        <is>
          <t>mylushmedspa.com</t>
        </is>
      </c>
      <c r="D5" s="11" t="inlineStr">
        <is>
          <t>Shorewood, IL (also Morris, Wilmington)</t>
        </is>
      </c>
      <c r="E5" s="11" t="inlineStr">
        <is>
          <t>unknown (small, 3 locations)</t>
        </is>
      </c>
      <c r="F5" s="11" t="inlineStr">
        <is>
          <t>Med spa</t>
        </is>
      </c>
      <c r="G5" s="11" t="inlineStr">
        <is>
          <t>High</t>
        </is>
      </c>
      <c r="H5" s="11" t="inlineStr">
        <is>
          <t>Independent med spa, multi-location, books online, high-margin services</t>
        </is>
      </c>
      <c r="I5" s="11" t="inlineStr">
        <is>
          <t>Medium</t>
        </is>
      </c>
      <c r="J5" s="11" t="inlineStr">
        <is>
          <t>Growth: expanded to 3 locations; no dated 2026 event found</t>
        </is>
      </c>
      <c r="K5" s="12" t="inlineStr">
        <is>
          <t>A</t>
        </is>
      </c>
      <c r="L5" s="11" t="inlineStr">
        <is>
          <t>Three locations splitting one budget: location-level Meta campaigns for Botox/filler offers with online booking as the conversion</t>
        </is>
      </c>
      <c r="M5" s="11" t="inlineStr">
        <is>
          <t>https://practicefinder.newpatientsinc.com/medspa/lush-medspa-wilmington-il/
https://shawlocal.com/morris-herald-news/news/business/2022/11/14/chamber-business-spotlight-lush-med-spa</t>
        </is>
      </c>
      <c r="N5" s="13" t="inlineStr">
        <is>
          <t>Not checked</t>
        </is>
      </c>
      <c r="O5" s="13" t="inlineStr">
        <is>
          <t>Not contacted</t>
        </is>
      </c>
      <c r="P5" s="13" t="n"/>
    </row>
    <row r="6">
      <c r="A6" s="11" t="inlineStr">
        <is>
          <t>L005</t>
        </is>
      </c>
      <c r="B6" s="11" t="inlineStr">
        <is>
          <t>Kafé de Kasa</t>
        </is>
      </c>
      <c r="C6" s="14" t="inlineStr">
        <is>
          <t>kafedekasa.com</t>
        </is>
      </c>
      <c r="D6" s="11" t="inlineStr">
        <is>
          <t>Shorewood + Crest Hill, IL</t>
        </is>
      </c>
      <c r="E6" s="11" t="inlineStr">
        <is>
          <t>unknown (small, 2 locations)</t>
        </is>
      </c>
      <c r="F6" s="11" t="inlineStr">
        <is>
          <t>Coffee shop</t>
        </is>
      </c>
      <c r="G6" s="11" t="inlineStr">
        <is>
          <t>High</t>
        </is>
      </c>
      <c r="H6" s="11" t="inlineStr">
        <is>
          <t>Independent cafe inside radius</t>
        </is>
      </c>
      <c r="I6" s="11" t="inlineStr">
        <is>
          <t>Medium</t>
        </is>
      </c>
      <c r="J6" s="11" t="inlineStr">
        <is>
          <t>Expanded to a 2nd location (Crest Hill + Shorewood); Shorewood licensed ~Oct 2025</t>
        </is>
      </c>
      <c r="K6" s="12" t="inlineStr">
        <is>
          <t>A</t>
        </is>
      </c>
      <c r="L6" s="11" t="inlineStr">
        <is>
          <t>Two shops, one brand: location-split Meta ads with a first-visit offer, and push their own online ordering</t>
        </is>
      </c>
      <c r="M6" s="11" t="inlineStr">
        <is>
          <t>https://www.kafedekasa.com
https://www.shawlocal.com/the-herald-news/2025/10/01/coffee-shop-one-of-new-shorewood-business-licenses-issued</t>
        </is>
      </c>
      <c r="N6" s="13" t="inlineStr">
        <is>
          <t>Not checked</t>
        </is>
      </c>
      <c r="O6" s="13" t="inlineStr">
        <is>
          <t>Not contacted</t>
        </is>
      </c>
      <c r="P6" s="13" t="n"/>
    </row>
    <row r="7">
      <c r="A7" s="11" t="inlineStr">
        <is>
          <t>L006</t>
        </is>
      </c>
      <c r="B7" s="11" t="inlineStr">
        <is>
          <t>Earth Mama Esthetics</t>
        </is>
      </c>
      <c r="C7" s="11" t="inlineStr">
        <is>
          <t>not verified</t>
        </is>
      </c>
      <c r="D7" s="11" t="inlineStr">
        <is>
          <t>Plainfield, IL (13717 S Route 30, unit 121)</t>
        </is>
      </c>
      <c r="E7" s="11" t="inlineStr">
        <is>
          <t>unknown (micro)</t>
        </is>
      </c>
      <c r="F7" s="11" t="inlineStr">
        <is>
          <t>Esthetics / skincare</t>
        </is>
      </c>
      <c r="G7" s="11" t="inlineStr">
        <is>
          <t>High</t>
        </is>
      </c>
      <c r="H7" s="11" t="inlineStr">
        <is>
          <t>Independent skincare studio, health &amp; wellness vertical</t>
        </is>
      </c>
      <c r="I7" s="11" t="inlineStr">
        <is>
          <t>Medium</t>
        </is>
      </c>
      <c r="J7" s="11" t="inlineStr">
        <is>
          <t>Moved into permanent location w/ grand opening + ribbon cutting (year NOT confirmed, may be old)</t>
        </is>
      </c>
      <c r="K7" s="12" t="inlineStr">
        <is>
          <t>A</t>
        </is>
      </c>
      <c r="L7" s="11" t="inlineStr">
        <is>
          <t>Lead with the new space: Meta ads for first-facial offers to women 25-55 within 10 mi of Plainfield. Confirm move date first</t>
        </is>
      </c>
      <c r="M7" s="11" t="inlineStr">
        <is>
          <t>https://patch.com/illinois/plainfield/earth-mama-esthetics-moves-into-new-plainfield-location</t>
        </is>
      </c>
      <c r="N7" s="13" t="inlineStr">
        <is>
          <t>Not checked</t>
        </is>
      </c>
      <c r="O7" s="13" t="inlineStr">
        <is>
          <t>Not contacted</t>
        </is>
      </c>
      <c r="P7" s="13" t="n"/>
    </row>
    <row r="8">
      <c r="A8" s="11" t="inlineStr">
        <is>
          <t>L023</t>
        </is>
      </c>
      <c r="B8" s="11" t="inlineStr">
        <is>
          <t>Bare Skin Company</t>
        </is>
      </c>
      <c r="C8" s="14" t="inlineStr">
        <is>
          <t>bareskinstore.com</t>
        </is>
      </c>
      <c r="D8" s="11" t="inlineStr">
        <is>
          <t>Mokena, IL (19827 LaGrange Rd)</t>
        </is>
      </c>
      <c r="E8" s="11" t="inlineStr">
        <is>
          <t>unknown (micro)</t>
        </is>
      </c>
      <c r="F8" s="11" t="inlineStr">
        <is>
          <t>Skincare boutique / medical aesthetics</t>
        </is>
      </c>
      <c r="G8" s="11" t="inlineStr">
        <is>
          <t>High</t>
        </is>
      </c>
      <c r="H8" s="11" t="inlineStr">
        <is>
          <t>Independent, licensed estheticians, accepts CareCredit (higher-ticket services)</t>
        </is>
      </c>
      <c r="I8" s="11" t="inlineStr">
        <is>
          <t>High</t>
        </is>
      </c>
      <c r="J8" s="11" t="inlineStr">
        <is>
          <t>Grand opening + Chamber ribbon cutting Sep 12, 2026 (3 weeks ago)</t>
        </is>
      </c>
      <c r="K8" s="12" t="inlineStr">
        <is>
          <t>A</t>
        </is>
      </c>
      <c r="L8" s="11" t="inlineStr">
        <is>
          <t>Only 5 Google reviews so far: pair Meta intro-facial ads with a review push, plus Google Search for 'facial Mokena'</t>
        </is>
      </c>
      <c r="M8" s="11" t="inlineStr">
        <is>
          <t>https://bareskinstore.com
https://www.facebook.com/events/19827-s-la-grange-rd-mokena-il-60448-8348-united-states/bare-skin-company-ribbon-cutting-and-grand-opening-91226/1507712954735454</t>
        </is>
      </c>
      <c r="N8" s="13" t="inlineStr">
        <is>
          <t>Not checked</t>
        </is>
      </c>
      <c r="O8" s="13" t="inlineStr">
        <is>
          <t>Not contacted</t>
        </is>
      </c>
      <c r="P8" s="13" t="n"/>
    </row>
    <row r="9">
      <c r="A9" s="11" t="inlineStr">
        <is>
          <t>L024</t>
        </is>
      </c>
      <c r="B9" s="11" t="inlineStr">
        <is>
          <t>Beauty BLVD Salon</t>
        </is>
      </c>
      <c r="C9" s="14" t="inlineStr">
        <is>
          <t>beautyblvdsalon.com</t>
        </is>
      </c>
      <c r="D9" s="11" t="inlineStr">
        <is>
          <t>Mokena, IL</t>
        </is>
      </c>
      <c r="E9" s="11" t="inlineStr">
        <is>
          <t>unknown (micro)</t>
        </is>
      </c>
      <c r="F9" s="11" t="inlineStr">
        <is>
          <t>Salon / head spa / bridal</t>
        </is>
      </c>
      <c r="G9" s="11" t="inlineStr">
        <is>
          <t>High</t>
        </is>
      </c>
      <c r="H9" s="11" t="inlineStr">
        <is>
          <t>Independent, founder-owned, offers bridal + Japanese head spa</t>
        </is>
      </c>
      <c r="I9" s="11" t="inlineStr">
        <is>
          <t>High</t>
        </is>
      </c>
      <c r="J9" s="11" t="inlineStr">
        <is>
          <t>Grand opening + ribbon cutting Jun 26, 2026</t>
        </is>
      </c>
      <c r="K9" s="12" t="inlineStr">
        <is>
          <t>A</t>
        </is>
      </c>
      <c r="L9" s="11" t="inlineStr">
        <is>
          <t>Japanese head spa is a proven Reels hook: short-form video ads on Meta, plus bridal packages to engaged women within 25 mi</t>
        </is>
      </c>
      <c r="M9" s="11" t="inlineStr">
        <is>
          <t>https://www.beautyblvdsalon.com
https://www.facebook.com/MokenaCC/videos/ribbon-cutting-ceremony-at-beauty-blvd-salon-more-than-just-hair-they-offer-many/1030995075939324</t>
        </is>
      </c>
      <c r="N9" s="13" t="inlineStr">
        <is>
          <t>Not checked</t>
        </is>
      </c>
      <c r="O9" s="13" t="inlineStr">
        <is>
          <t>Not contacted</t>
        </is>
      </c>
      <c r="P9" s="13" t="n"/>
    </row>
    <row r="10">
      <c r="A10" s="11" t="inlineStr">
        <is>
          <t>L025</t>
        </is>
      </c>
      <c r="B10" s="11" t="inlineStr">
        <is>
          <t>Tasty Bite</t>
        </is>
      </c>
      <c r="C10" s="14" t="inlineStr">
        <is>
          <t>tastybiteminooka.com</t>
        </is>
      </c>
      <c r="D10" s="11" t="inlineStr">
        <is>
          <t>Minooka, IL (2nd location coming in Channahon)</t>
        </is>
      </c>
      <c r="E10" s="11" t="inlineStr">
        <is>
          <t>unknown (small)</t>
        </is>
      </c>
      <c r="F10" s="11" t="inlineStr">
        <is>
          <t>Restaurant (gyros, burgers)</t>
        </is>
      </c>
      <c r="G10" s="11" t="inlineStr">
        <is>
          <t>High</t>
        </is>
      </c>
      <c r="H10" s="11" t="inlineStr">
        <is>
          <t>Independent since 2004, owner-operated</t>
        </is>
      </c>
      <c r="I10" s="11" t="inlineStr">
        <is>
          <t>High</t>
        </is>
      </c>
      <c r="J10" s="11" t="inlineStr">
        <is>
          <t>Opening 2nd location with drive-thru at Rt 6 &amp; Roberts Ave, Channahon (village-approved, date TBD)</t>
        </is>
      </c>
      <c r="K10" s="12" t="inlineStr">
        <is>
          <t>A</t>
        </is>
      </c>
      <c r="L10" s="11" t="inlineStr">
        <is>
          <t>Their site already pushes direct ordering (30% off vs apps): Meta ads that drive to direct orders pay for themselves in saved app fees. Launch the drive-thru with a geo-fenced opening push</t>
        </is>
      </c>
      <c r="M10" s="11" t="inlineStr">
        <is>
          <t>https://www.channahon.org/428/Tasty-Bite-Drive-Thru
https://www.wcsjnews.com/news/local/channahon-getting-a-tasty-bite-another-new-business/article_8bf61f34-dd70-4389-a082-91fac90925f0.html</t>
        </is>
      </c>
      <c r="N10" s="13" t="inlineStr">
        <is>
          <t>Not checked</t>
        </is>
      </c>
      <c r="O10" s="13" t="inlineStr">
        <is>
          <t>Not contacted</t>
        </is>
      </c>
      <c r="P10" s="13" t="n"/>
    </row>
    <row r="11">
      <c r="A11" s="11" t="inlineStr">
        <is>
          <t>L026</t>
        </is>
      </c>
      <c r="B11" s="11" t="inlineStr">
        <is>
          <t>Fit Haus</t>
        </is>
      </c>
      <c r="C11" s="14" t="inlineStr">
        <is>
          <t>fithausfrankfort.com</t>
        </is>
      </c>
      <c r="D11" s="11" t="inlineStr">
        <is>
          <t>Mokena, IL (19255 Everett Ln C)</t>
        </is>
      </c>
      <c r="E11" s="11" t="inlineStr">
        <is>
          <t>unknown (small)</t>
        </is>
      </c>
      <c r="F11" s="11" t="inlineStr">
        <is>
          <t>Boutique gym / recovery studio</t>
        </is>
      </c>
      <c r="G11" s="11" t="inlineStr">
        <is>
          <t>High</t>
        </is>
      </c>
      <c r="H11" s="11" t="inlineStr">
        <is>
          <t>Independent strength studio with sauna/cold plunge and youth program</t>
        </is>
      </c>
      <c r="I11" s="11" t="inlineStr">
        <is>
          <t>Medium</t>
        </is>
      </c>
      <c r="J11" s="11" t="inlineStr">
        <is>
          <t>Mokena Chamber ribbon cutting (date unconfirmed); already runs a $30 first-visit offer</t>
        </is>
      </c>
      <c r="K11" s="12" t="inlineStr">
        <is>
          <t>A</t>
        </is>
      </c>
      <c r="L11" s="11" t="inlineStr">
        <is>
          <t>They have the offer already: run it as a Meta lead ad within 5 mi. Note the domain says 'frankfort', so check whether they moved</t>
        </is>
      </c>
      <c r="M11" s="11" t="inlineStr">
        <is>
          <t>https://www.fithausfrankfort.com
https://www.facebook.com/MokenaCC/videos/ribbon-cutting-ceremony-at-fit-haus-mokena/2865007467214081</t>
        </is>
      </c>
      <c r="N11" s="13" t="inlineStr">
        <is>
          <t>Not checked</t>
        </is>
      </c>
      <c r="O11" s="13" t="inlineStr">
        <is>
          <t>Not contacted</t>
        </is>
      </c>
      <c r="P11" s="13" t="n"/>
    </row>
    <row r="12">
      <c r="A12" s="11" t="inlineStr">
        <is>
          <t>L027</t>
        </is>
      </c>
      <c r="B12" s="11" t="inlineStr">
        <is>
          <t>Michael's Pizza</t>
        </is>
      </c>
      <c r="C12" s="14" t="inlineStr">
        <is>
          <t>michaelspizzainc.com</t>
        </is>
      </c>
      <c r="D12" s="11" t="inlineStr">
        <is>
          <t>Romeoville + Joliet, IL</t>
        </is>
      </c>
      <c r="E12" s="11" t="inlineStr">
        <is>
          <t>unknown (20-50)</t>
        </is>
      </c>
      <c r="F12" s="11" t="inlineStr">
        <is>
          <t>Restaurant (pizza)</t>
        </is>
      </c>
      <c r="G12" s="11" t="inlineStr">
        <is>
          <t>High</t>
        </is>
      </c>
      <c r="H12" s="11" t="inlineStr">
        <is>
          <t>Independent since 1983, two locations in radius, online ordering + catering</t>
        </is>
      </c>
      <c r="I12" s="11" t="inlineStr">
        <is>
          <t>Medium</t>
        </is>
      </c>
      <c r="J12" s="11" t="inlineStr">
        <is>
          <t>Actively hiring (site updated Sep 2026); Joliet Restaurant Week runs Oct 9-18, 2026</t>
        </is>
      </c>
      <c r="K12" s="12" t="inlineStr">
        <is>
          <t>A</t>
        </is>
      </c>
      <c r="L12" s="11" t="inlineStr">
        <is>
          <t>Time-boxed pitch: a Restaurant Week Meta push starting Oct 9, then catering ads to local offices and schools</t>
        </is>
      </c>
      <c r="M12" s="11" t="inlineStr">
        <is>
          <t>https://michaelspizzainc.com
https://jolietccp.com/joliet-restaurant-week</t>
        </is>
      </c>
      <c r="N12" s="13" t="inlineStr">
        <is>
          <t>Not checked</t>
        </is>
      </c>
      <c r="O12" s="13" t="inlineStr">
        <is>
          <t>Not contacted</t>
        </is>
      </c>
      <c r="P12" s="13" t="n"/>
    </row>
    <row r="13">
      <c r="A13" s="11" t="inlineStr">
        <is>
          <t>L007</t>
        </is>
      </c>
      <c r="B13" s="11" t="inlineStr">
        <is>
          <t>Banks Bridal Suites &amp; Lodging</t>
        </is>
      </c>
      <c r="C13" s="11" t="inlineStr">
        <is>
          <t>not verified</t>
        </is>
      </c>
      <c r="D13" s="11" t="inlineStr">
        <is>
          <t>Joliet, IL (317 N Chicago St)</t>
        </is>
      </c>
      <c r="E13" s="11" t="inlineStr">
        <is>
          <t>unknown (micro)</t>
        </is>
      </c>
      <c r="F13" s="11" t="inlineStr">
        <is>
          <t>Hospitality / wedding</t>
        </is>
      </c>
      <c r="G13" s="11" t="inlineStr">
        <is>
          <t>Medium</t>
        </is>
      </c>
      <c r="H13" s="11" t="inlineStr">
        <is>
          <t>Independent, downtown Joliet; lodging is adjacent to your chosen verticals</t>
        </is>
      </c>
      <c r="I13" s="11" t="inlineStr">
        <is>
          <t>High</t>
        </is>
      </c>
      <c r="J13" s="11" t="inlineStr">
        <is>
          <t>Grand opening ribbon cutting, Apr 23 2026</t>
        </is>
      </c>
      <c r="K13" s="15" t="inlineStr">
        <is>
          <t>B</t>
        </is>
      </c>
      <c r="L13" s="11" t="inlineStr">
        <is>
          <t>Wedding buyers live on Instagram: Meta ads to engaged couples within 30 mi plus Google Search for 'bridal suite Joliet'</t>
        </is>
      </c>
      <c r="M13" s="11" t="inlineStr">
        <is>
          <t>https://www.burbio.com/states/Illinois/Joliet/joliet-region-chamber-of-commerce-industry</t>
        </is>
      </c>
      <c r="N13" s="13" t="inlineStr">
        <is>
          <t>Not checked</t>
        </is>
      </c>
      <c r="O13" s="13" t="inlineStr">
        <is>
          <t>Not contacted</t>
        </is>
      </c>
      <c r="P13" s="13" t="n"/>
    </row>
    <row r="14">
      <c r="A14" s="11" t="inlineStr">
        <is>
          <t>L008</t>
        </is>
      </c>
      <c r="B14" s="11" t="inlineStr">
        <is>
          <t>Little Learner Children's Academy</t>
        </is>
      </c>
      <c r="C14" s="11" t="inlineStr">
        <is>
          <t>not verified</t>
        </is>
      </c>
      <c r="D14" s="11" t="inlineStr">
        <is>
          <t>Plainfield, IL</t>
        </is>
      </c>
      <c r="E14" s="11" t="inlineStr">
        <is>
          <t>unknown</t>
        </is>
      </c>
      <c r="F14" s="11" t="inlineStr">
        <is>
          <t>Childcare / early education</t>
        </is>
      </c>
      <c r="G14" s="11" t="inlineStr">
        <is>
          <t>Medium</t>
        </is>
      </c>
      <c r="H14" s="11" t="inlineStr">
        <is>
          <t>Local childcare, not one of your four verticals but runs on enrollment leads</t>
        </is>
      </c>
      <c r="I14" s="11" t="inlineStr">
        <is>
          <t>High</t>
        </is>
      </c>
      <c r="J14" s="11" t="inlineStr">
        <is>
          <t>Hiring a Sales/Marketing Director (2026 listing)</t>
        </is>
      </c>
      <c r="K14" s="15" t="inlineStr">
        <is>
          <t>B</t>
        </is>
      </c>
      <c r="L14" s="11" t="inlineStr">
        <is>
          <t>They're hiring someone to own growth: pitch paid enrollment campaigns that person can manage with you instead of from scratch</t>
        </is>
      </c>
      <c r="M14" s="11" t="inlineStr">
        <is>
          <t>https://www.talent.com/jobs/k-marketing-communications-l-joliet-il</t>
        </is>
      </c>
      <c r="N14" s="13" t="inlineStr">
        <is>
          <t>Not checked</t>
        </is>
      </c>
      <c r="O14" s="13" t="inlineStr">
        <is>
          <t>Not contacted</t>
        </is>
      </c>
      <c r="P14" s="13" t="n"/>
    </row>
    <row r="15">
      <c r="A15" s="11" t="inlineStr">
        <is>
          <t>L009</t>
        </is>
      </c>
      <c r="B15" s="11" t="inlineStr">
        <is>
          <t>FYZICAL Therapy &amp; Balance Centers (Plainfield)</t>
        </is>
      </c>
      <c r="C15" s="11" t="inlineStr">
        <is>
          <t>fyzical.com (franchise)</t>
        </is>
      </c>
      <c r="D15" s="11" t="inlineStr">
        <is>
          <t>Plainfield, IL</t>
        </is>
      </c>
      <c r="E15" s="11" t="inlineStr">
        <is>
          <t>unknown</t>
        </is>
      </c>
      <c r="F15" s="11" t="inlineStr">
        <is>
          <t>Physical therapy</t>
        </is>
      </c>
      <c r="G15" s="11" t="inlineStr">
        <is>
          <t>Medium</t>
        </is>
      </c>
      <c r="H15" s="11" t="inlineStr">
        <is>
          <t>Health vertical, but a franchise location so corporate may control brand/ads</t>
        </is>
      </c>
      <c r="I15" s="11" t="inlineStr">
        <is>
          <t>High</t>
        </is>
      </c>
      <c r="J15" s="11" t="inlineStr">
        <is>
          <t>Hiring a full-time Marketing Specialist (2026 listing)</t>
        </is>
      </c>
      <c r="K15" s="15" t="inlineStr">
        <is>
          <t>B</t>
        </is>
      </c>
      <c r="L15" s="11" t="inlineStr">
        <is>
          <t>Franchisee is investing in marketing headcount: offer local Google Search + Meta campaigns that sit inside franchise brand rules</t>
        </is>
      </c>
      <c r="M15" s="11" t="inlineStr">
        <is>
          <t>https://www.talent.com/jobs/k-marketing-communications-l-joliet-il</t>
        </is>
      </c>
      <c r="N15" s="13" t="inlineStr">
        <is>
          <t>Not checked</t>
        </is>
      </c>
      <c r="O15" s="13" t="inlineStr">
        <is>
          <t>Not contacted</t>
        </is>
      </c>
      <c r="P15" s="13" t="n"/>
    </row>
    <row r="16">
      <c r="A16" s="11" t="inlineStr">
        <is>
          <t>L010</t>
        </is>
      </c>
      <c r="B16" s="11" t="inlineStr">
        <is>
          <t>Joliet Collective Coworking</t>
        </is>
      </c>
      <c r="C16" s="11" t="inlineStr">
        <is>
          <t>not verified</t>
        </is>
      </c>
      <c r="D16" s="11" t="inlineStr">
        <is>
          <t>Joliet, IL (116 N Chicago St, Ste 301)</t>
        </is>
      </c>
      <c r="E16" s="11" t="inlineStr">
        <is>
          <t>unknown (micro)</t>
        </is>
      </c>
      <c r="F16" s="11" t="inlineStr">
        <is>
          <t>Coworking / B2B space</t>
        </is>
      </c>
      <c r="G16" s="11" t="inlineStr">
        <is>
          <t>Medium</t>
        </is>
      </c>
      <c r="H16" s="11" t="inlineStr">
        <is>
          <t>Independent and new, but B2B-ish and small revenue ceiling</t>
        </is>
      </c>
      <c r="I16" s="11" t="inlineStr">
        <is>
          <t>High</t>
        </is>
      </c>
      <c r="J16" s="11" t="inlineStr">
        <is>
          <t>Grand opening ribbon cutting, Apr 8 2026</t>
        </is>
      </c>
      <c r="K16" s="15" t="inlineStr">
        <is>
          <t>B</t>
        </is>
      </c>
      <c r="L16" s="11" t="inlineStr">
        <is>
          <t>Fill desks and meeting rooms: Google Search for 'coworking Joliet' / 'meeting room near Will County courthouse'</t>
        </is>
      </c>
      <c r="M16" s="11" t="inlineStr">
        <is>
          <t>https://www.commercialcafe.com/coworking-property/us/il/joliet/joliet-collective/
https://www.burbio.com/states/Illinois/Joliet/joliet-region-chamber-of-commerce-industry</t>
        </is>
      </c>
      <c r="N16" s="13" t="inlineStr">
        <is>
          <t>Not checked</t>
        </is>
      </c>
      <c r="O16" s="13" t="inlineStr">
        <is>
          <t>Not contacted</t>
        </is>
      </c>
      <c r="P16" s="13" t="n"/>
    </row>
    <row r="17">
      <c r="A17" s="11" t="inlineStr">
        <is>
          <t>L011</t>
        </is>
      </c>
      <c r="B17" s="11" t="inlineStr">
        <is>
          <t>PDM Plumbing, Heating &amp; Cooling</t>
        </is>
      </c>
      <c r="C17" s="14" t="inlineStr">
        <is>
          <t>pdmsince1885.com</t>
        </is>
      </c>
      <c r="D17" s="11" t="inlineStr">
        <is>
          <t>Joliet, IL (467 Ruby St)</t>
        </is>
      </c>
      <c r="E17" s="11" t="inlineStr">
        <is>
          <t>unknown (likely 20-50)</t>
        </is>
      </c>
      <c r="F17" s="11" t="inlineStr">
        <is>
          <t>Home services / HVAC</t>
        </is>
      </c>
      <c r="G17" s="11" t="inlineStr">
        <is>
          <t>High</t>
        </is>
      </c>
      <c r="H17" s="11" t="inlineStr">
        <is>
          <t>Local HVAC + plumbing, strong reviews (636 Google, 4.8)</t>
        </is>
      </c>
      <c r="I17" s="11" t="inlineStr">
        <is>
          <t>Low</t>
        </is>
      </c>
      <c r="J17" s="11" t="inlineStr">
        <is>
          <t>140th anniversary Jun 2025 (over a year old); likely already advertising</t>
        </is>
      </c>
      <c r="K17" s="15" t="inlineStr">
        <is>
          <t>B</t>
        </is>
      </c>
      <c r="L17" s="11" t="inlineStr">
        <is>
          <t>Lean on review strength: Google Local Services Ads + seasonal furnace tune-up Meta campaigns. Ask who runs their ads now</t>
        </is>
      </c>
      <c r="M17" s="11" t="inlineStr">
        <is>
          <t>https://www.pdmsince1885.com/
https://www.shawlocal.com/the-herald-news/2025/06/30/pdm-plumbing-in-joliet-celebrates-140-years-of-excellence</t>
        </is>
      </c>
      <c r="N17" s="13" t="inlineStr">
        <is>
          <t>Not checked</t>
        </is>
      </c>
      <c r="O17" s="13" t="inlineStr">
        <is>
          <t>Not contacted</t>
        </is>
      </c>
      <c r="P17" s="13" t="n"/>
    </row>
    <row r="18">
      <c r="A18" s="11" t="inlineStr">
        <is>
          <t>L012</t>
        </is>
      </c>
      <c r="B18" s="11" t="inlineStr">
        <is>
          <t>Abode Exteriors</t>
        </is>
      </c>
      <c r="C18" s="11" t="inlineStr">
        <is>
          <t>not verified</t>
        </is>
      </c>
      <c r="D18" s="11" t="inlineStr">
        <is>
          <t>New Lenox, IL</t>
        </is>
      </c>
      <c r="E18" s="11" t="inlineStr">
        <is>
          <t>unknown</t>
        </is>
      </c>
      <c r="F18" s="11" t="inlineStr">
        <is>
          <t>Home services / roofing</t>
        </is>
      </c>
      <c r="G18" s="11" t="inlineStr">
        <is>
          <t>High</t>
        </is>
      </c>
      <c r="H18" s="11" t="inlineStr">
        <is>
          <t>Family-run roofer since 1979, serves the whole radius</t>
        </is>
      </c>
      <c r="I18" s="11" t="inlineStr">
        <is>
          <t>Low</t>
        </is>
      </c>
      <c r="J18" s="11" t="inlineStr">
        <is>
          <t>none found</t>
        </is>
      </c>
      <c r="K18" s="15" t="inlineStr">
        <is>
          <t>B</t>
        </is>
      </c>
      <c r="L18" s="11" t="inlineStr">
        <is>
          <t>Storm-triggered Google Search + Meta retargeting; roofing is high-ticket so CPL math works</t>
        </is>
      </c>
      <c r="M18" s="11" t="inlineStr">
        <is>
          <t>https://dev.malarkeyroofing.com/company-profile/abode-exteriors</t>
        </is>
      </c>
      <c r="N18" s="13" t="inlineStr">
        <is>
          <t>Not checked</t>
        </is>
      </c>
      <c r="O18" s="13" t="inlineStr">
        <is>
          <t>Not contacted</t>
        </is>
      </c>
      <c r="P18" s="13" t="n"/>
    </row>
    <row r="19">
      <c r="A19" s="11" t="inlineStr">
        <is>
          <t>L013</t>
        </is>
      </c>
      <c r="B19" s="11" t="inlineStr">
        <is>
          <t>Titan Construction Enterprise</t>
        </is>
      </c>
      <c r="C19" s="11" t="inlineStr">
        <is>
          <t>not verified</t>
        </is>
      </c>
      <c r="D19" s="11" t="inlineStr">
        <is>
          <t>Plainfield, IL (23831 W Andrew Rd)</t>
        </is>
      </c>
      <c r="E19" s="11" t="inlineStr">
        <is>
          <t>unknown</t>
        </is>
      </c>
      <c r="F19" s="11" t="inlineStr">
        <is>
          <t>Home services / roofing &amp; siding</t>
        </is>
      </c>
      <c r="G19" s="11" t="inlineStr">
        <is>
          <t>High</t>
        </is>
      </c>
      <c r="H19" s="11" t="inlineStr">
        <is>
          <t>Family-operated, GAF Master Elite, 3,000+ roofs locally</t>
        </is>
      </c>
      <c r="I19" s="11" t="inlineStr">
        <is>
          <t>Low</t>
        </is>
      </c>
      <c r="J19" s="11" t="inlineStr">
        <is>
          <t>none found</t>
        </is>
      </c>
      <c r="K19" s="15" t="inlineStr">
        <is>
          <t>B</t>
        </is>
      </c>
      <c r="L19" s="11" t="inlineStr">
        <is>
          <t>Promote the 50-year GAF warranty in search ads; it's a real differentiator against storm chasers</t>
        </is>
      </c>
      <c r="M19" s="11" t="inlineStr">
        <is>
          <t>https://gaf.com/en-us/roofing-contractors/residential/usa/il/plainfield/titan-construction-enterprise-inc-1000223</t>
        </is>
      </c>
      <c r="N19" s="13" t="inlineStr">
        <is>
          <t>Not checked</t>
        </is>
      </c>
      <c r="O19" s="13" t="inlineStr">
        <is>
          <t>Not contacted</t>
        </is>
      </c>
      <c r="P19" s="13" t="n"/>
    </row>
    <row r="20">
      <c r="A20" s="11" t="inlineStr">
        <is>
          <t>L014</t>
        </is>
      </c>
      <c r="B20" s="11" t="inlineStr">
        <is>
          <t>Innovative Creations Construction &amp; Remodeling</t>
        </is>
      </c>
      <c r="C20" s="11" t="inlineStr">
        <is>
          <t>not verified</t>
        </is>
      </c>
      <c r="D20" s="11" t="inlineStr">
        <is>
          <t>Joliet, IL (1052 Chovan Dr)</t>
        </is>
      </c>
      <c r="E20" s="11" t="inlineStr">
        <is>
          <t>unknown</t>
        </is>
      </c>
      <c r="F20" s="11" t="inlineStr">
        <is>
          <t>Home services / remodeling</t>
        </is>
      </c>
      <c r="G20" s="11" t="inlineStr">
        <is>
          <t>High</t>
        </is>
      </c>
      <c r="H20" s="11" t="inlineStr">
        <is>
          <t>Local kitchen + bath remodeler</t>
        </is>
      </c>
      <c r="I20" s="11" t="inlineStr">
        <is>
          <t>Low</t>
        </is>
      </c>
      <c r="J20" s="11" t="inlineStr">
        <is>
          <t>none found</t>
        </is>
      </c>
      <c r="K20" s="15" t="inlineStr">
        <is>
          <t>B</t>
        </is>
      </c>
      <c r="L20" s="11" t="inlineStr">
        <is>
          <t>Before/after carousel ads on Meta plus Google Search for 'kitchen remodel Joliet'</t>
        </is>
      </c>
      <c r="M20" s="11" t="inlineStr">
        <is>
          <t>https://www.homeadvisor.com/tloc/joliet-IL/Kitchen-Remodel</t>
        </is>
      </c>
      <c r="N20" s="13" t="inlineStr">
        <is>
          <t>Not checked</t>
        </is>
      </c>
      <c r="O20" s="13" t="inlineStr">
        <is>
          <t>Not contacted</t>
        </is>
      </c>
      <c r="P20" s="13" t="n"/>
    </row>
    <row r="21">
      <c r="A21" s="11" t="inlineStr">
        <is>
          <t>L015</t>
        </is>
      </c>
      <c r="B21" s="11" t="inlineStr">
        <is>
          <t>Law Offices of Tedone and Morton, P.C.</t>
        </is>
      </c>
      <c r="C21" s="11" t="inlineStr">
        <is>
          <t>not verified</t>
        </is>
      </c>
      <c r="D21" s="11" t="inlineStr">
        <is>
          <t>Joliet + Plainfield, IL</t>
        </is>
      </c>
      <c r="E21" s="11" t="inlineStr">
        <is>
          <t>unknown (small)</t>
        </is>
      </c>
      <c r="F21" s="11" t="inlineStr">
        <is>
          <t>Legal / family law</t>
        </is>
      </c>
      <c r="G21" s="11" t="inlineStr">
        <is>
          <t>High</t>
        </is>
      </c>
      <c r="H21" s="11" t="inlineStr">
        <is>
          <t>Local divorce/family law firm, two offices in radius</t>
        </is>
      </c>
      <c r="I21" s="11" t="inlineStr">
        <is>
          <t>Low</t>
        </is>
      </c>
      <c r="J21" s="11" t="inlineStr">
        <is>
          <t>none found</t>
        </is>
      </c>
      <c r="K21" s="15" t="inlineStr">
        <is>
          <t>B</t>
        </is>
      </c>
      <c r="L21" s="11" t="inlineStr">
        <is>
          <t>Two offices = two geo campaigns: Google Search for 'divorce lawyer Plainfield' / 'Joliet' with free-consult CTA</t>
        </is>
      </c>
      <c r="M21" s="11" t="inlineStr">
        <is>
          <t>https://lawyers.justia.com/lawyer/barbara-morton-405389</t>
        </is>
      </c>
      <c r="N21" s="13" t="inlineStr">
        <is>
          <t>Not checked</t>
        </is>
      </c>
      <c r="O21" s="13" t="inlineStr">
        <is>
          <t>Not contacted</t>
        </is>
      </c>
      <c r="P21" s="13" t="n"/>
    </row>
    <row r="22">
      <c r="A22" s="11" t="inlineStr">
        <is>
          <t>L016</t>
        </is>
      </c>
      <c r="B22" s="11" t="inlineStr">
        <is>
          <t>Reeder &amp; Brown, P.C.</t>
        </is>
      </c>
      <c r="C22" s="11" t="inlineStr">
        <is>
          <t>not verified</t>
        </is>
      </c>
      <c r="D22" s="11" t="inlineStr">
        <is>
          <t>Will County, IL</t>
        </is>
      </c>
      <c r="E22" s="11" t="inlineStr">
        <is>
          <t>unknown (small)</t>
        </is>
      </c>
      <c r="F22" s="11" t="inlineStr">
        <is>
          <t>Legal / family law</t>
        </is>
      </c>
      <c r="G22" s="11" t="inlineStr">
        <is>
          <t>High</t>
        </is>
      </c>
      <c r="H22" s="11" t="inlineStr">
        <is>
          <t>Local family law firm serving the whole radius</t>
        </is>
      </c>
      <c r="I22" s="11" t="inlineStr">
        <is>
          <t>Low</t>
        </is>
      </c>
      <c r="J22" s="11" t="inlineStr">
        <is>
          <t>none found</t>
        </is>
      </c>
      <c r="K22" s="15" t="inlineStr">
        <is>
          <t>B</t>
        </is>
      </c>
      <c r="L22" s="11" t="inlineStr">
        <is>
          <t>Google Search on family law terms by suburb; they already list a dozen towns they serve</t>
        </is>
      </c>
      <c r="M22" s="11" t="inlineStr">
        <is>
          <t>https://www.lawyer.com/firm/reeder-brown-p-c.html</t>
        </is>
      </c>
      <c r="N22" s="13" t="inlineStr">
        <is>
          <t>Not checked</t>
        </is>
      </c>
      <c r="O22" s="13" t="inlineStr">
        <is>
          <t>Not contacted</t>
        </is>
      </c>
      <c r="P22" s="13" t="n"/>
    </row>
    <row r="23">
      <c r="A23" s="11" t="inlineStr">
        <is>
          <t>L017</t>
        </is>
      </c>
      <c r="B23" s="11" t="inlineStr">
        <is>
          <t>Leiter Law Offices</t>
        </is>
      </c>
      <c r="C23" s="11" t="inlineStr">
        <is>
          <t>not verified</t>
        </is>
      </c>
      <c r="D23" s="11" t="inlineStr">
        <is>
          <t>Joliet, IL (63 W Jefferson St)</t>
        </is>
      </c>
      <c r="E23" s="11" t="inlineStr">
        <is>
          <t>unknown (small)</t>
        </is>
      </c>
      <c r="F23" s="11" t="inlineStr">
        <is>
          <t>Legal / personal injury</t>
        </is>
      </c>
      <c r="G23" s="11" t="inlineStr">
        <is>
          <t>High</t>
        </is>
      </c>
      <c r="H23" s="11" t="inlineStr">
        <is>
          <t>Solo-led PI firm, 81 Google reviews at 5.0</t>
        </is>
      </c>
      <c r="I23" s="11" t="inlineStr">
        <is>
          <t>Low</t>
        </is>
      </c>
      <c r="J23" s="11" t="inlineStr">
        <is>
          <t>none found</t>
        </is>
      </c>
      <c r="K23" s="15" t="inlineStr">
        <is>
          <t>B</t>
        </is>
      </c>
      <c r="L23" s="11" t="inlineStr">
        <is>
          <t>PI clicks are brutal: pitch tightly geo-fenced Google + LSA, not broad terms. Workers' comp is the cheaper wedge</t>
        </is>
      </c>
      <c r="M23" s="11" t="inlineStr">
        <is>
          <t>https://lawyers.uslegal.com/attorney/leiter-law-offices-54588304/</t>
        </is>
      </c>
      <c r="N23" s="13" t="inlineStr">
        <is>
          <t>Not checked</t>
        </is>
      </c>
      <c r="O23" s="13" t="inlineStr">
        <is>
          <t>Not contacted</t>
        </is>
      </c>
      <c r="P23" s="13" t="n"/>
    </row>
    <row r="24">
      <c r="A24" s="11" t="inlineStr">
        <is>
          <t>L018</t>
        </is>
      </c>
      <c r="B24" s="11" t="inlineStr">
        <is>
          <t>Hutton Family Dental</t>
        </is>
      </c>
      <c r="C24" s="11" t="inlineStr">
        <is>
          <t>not verified</t>
        </is>
      </c>
      <c r="D24" s="11" t="inlineStr">
        <is>
          <t>New Lenox, IL (1240 N Cedar Rd)</t>
        </is>
      </c>
      <c r="E24" s="11" t="inlineStr">
        <is>
          <t>unknown (small)</t>
        </is>
      </c>
      <c r="F24" s="11" t="inlineStr">
        <is>
          <t>Dental</t>
        </is>
      </c>
      <c r="G24" s="11" t="inlineStr">
        <is>
          <t>High</t>
        </is>
      </c>
      <c r="H24" s="11" t="inlineStr">
        <is>
          <t>Independent family dental practice</t>
        </is>
      </c>
      <c r="I24" s="11" t="inlineStr">
        <is>
          <t>Low</t>
        </is>
      </c>
      <c r="J24" s="11" t="inlineStr">
        <is>
          <t>none found (accepting new patients is not a trigger)</t>
        </is>
      </c>
      <c r="K24" s="15" t="inlineStr">
        <is>
          <t>B</t>
        </is>
      </c>
      <c r="L24" s="11" t="inlineStr">
        <is>
          <t>New-patient special on Meta + Google Search for 'dentist New Lenox'</t>
        </is>
      </c>
      <c r="M24" s="11" t="inlineStr">
        <is>
          <t>https://care.healthline.com/find-care/provider/dr-frank-hutton-1750409595</t>
        </is>
      </c>
      <c r="N24" s="13" t="inlineStr">
        <is>
          <t>Not checked</t>
        </is>
      </c>
      <c r="O24" s="13" t="inlineStr">
        <is>
          <t>Not contacted</t>
        </is>
      </c>
      <c r="P24" s="13" t="n"/>
    </row>
    <row r="25">
      <c r="A25" s="11" t="inlineStr">
        <is>
          <t>L019</t>
        </is>
      </c>
      <c r="B25" s="11" t="inlineStr">
        <is>
          <t>EKG IV Nutrition &amp; Aesthetics</t>
        </is>
      </c>
      <c r="C25" s="14" t="inlineStr">
        <is>
          <t>ekgmedspa.com</t>
        </is>
      </c>
      <c r="D25" s="11" t="inlineStr">
        <is>
          <t>New Lenox, IL (352 W Maple St)</t>
        </is>
      </c>
      <c r="E25" s="11" t="inlineStr">
        <is>
          <t>unknown (small)</t>
        </is>
      </c>
      <c r="F25" s="11" t="inlineStr">
        <is>
          <t>Med spa / IV / weight loss</t>
        </is>
      </c>
      <c r="G25" s="11" t="inlineStr">
        <is>
          <t>High</t>
        </is>
      </c>
      <c r="H25" s="11" t="inlineStr">
        <is>
          <t>Independent med spa with weight loss + injectables</t>
        </is>
      </c>
      <c r="I25" s="11" t="inlineStr">
        <is>
          <t>Low</t>
        </is>
      </c>
      <c r="J25" s="11" t="inlineStr">
        <is>
          <t>none found</t>
        </is>
      </c>
      <c r="K25" s="15" t="inlineStr">
        <is>
          <t>B</t>
        </is>
      </c>
      <c r="L25" s="11" t="inlineStr">
        <is>
          <t>Weight-loss offers convert well on Meta, but ad policy is strict on that category. Lead with compliant creative</t>
        </is>
      </c>
      <c r="M25" s="11" t="inlineStr">
        <is>
          <t>https://www.beautynailhairsalons.com/US/New-Lenox/351958001334391/EKG-IV-Nutrition-%26-Aesthetics</t>
        </is>
      </c>
      <c r="N25" s="13" t="inlineStr">
        <is>
          <t>Not checked</t>
        </is>
      </c>
      <c r="O25" s="13" t="inlineStr">
        <is>
          <t>Not contacted</t>
        </is>
      </c>
      <c r="P25" s="13" t="n"/>
    </row>
    <row r="26">
      <c r="A26" s="11" t="inlineStr">
        <is>
          <t>L028</t>
        </is>
      </c>
      <c r="B26" s="11" t="inlineStr">
        <is>
          <t>HOTWORX Lockport</t>
        </is>
      </c>
      <c r="C26" s="11" t="inlineStr">
        <is>
          <t>hotworx.net (franchise)</t>
        </is>
      </c>
      <c r="D26" s="11" t="inlineStr">
        <is>
          <t>Lockport, IL (1029 E 9th St)</t>
        </is>
      </c>
      <c r="E26" s="11" t="inlineStr">
        <is>
          <t>unknown (micro)</t>
        </is>
      </c>
      <c r="F26" s="11" t="inlineStr">
        <is>
          <t>Fitness (franchise)</t>
        </is>
      </c>
      <c r="G26" s="11" t="inlineStr">
        <is>
          <t>Medium</t>
        </is>
      </c>
      <c r="H26" s="11" t="inlineStr">
        <is>
          <t>Franchise, but owner-operated and running its own presale</t>
        </is>
      </c>
      <c r="I26" s="11" t="inlineStr">
        <is>
          <t>High</t>
        </is>
      </c>
      <c r="J26" s="11" t="inlineStr">
        <is>
          <t>Presale with $49 founder rate; opening targeted ~Oct 1, 2026</t>
        </is>
      </c>
      <c r="K26" s="15" t="inlineStr">
        <is>
          <t>B</t>
        </is>
      </c>
      <c r="L26" s="11" t="inlineStr">
        <is>
          <t>Presale membership is lead-gen gold: Meta lead ads to founder rate. Confirm franchisor allows local ads</t>
        </is>
      </c>
      <c r="M26" s="11" t="inlineStr">
        <is>
          <t>https://www.instagram.com/hotworxlockport
https://www.hotworx.net/studio/lockport-regencypoint</t>
        </is>
      </c>
      <c r="N26" s="13" t="inlineStr">
        <is>
          <t>Not checked</t>
        </is>
      </c>
      <c r="O26" s="13" t="inlineStr">
        <is>
          <t>Not contacted</t>
        </is>
      </c>
      <c r="P26" s="13" t="n"/>
    </row>
    <row r="27">
      <c r="A27" s="11" t="inlineStr">
        <is>
          <t>L029</t>
        </is>
      </c>
      <c r="B27" s="11" t="inlineStr">
        <is>
          <t>Harold's Chicken (Joliet)</t>
        </is>
      </c>
      <c r="C27" s="11" t="inlineStr">
        <is>
          <t>not verified</t>
        </is>
      </c>
      <c r="D27" s="11" t="inlineStr">
        <is>
          <t>Joliet, IL (1511 W Jefferson St)</t>
        </is>
      </c>
      <c r="E27" s="11" t="inlineStr">
        <is>
          <t>unknown (small)</t>
        </is>
      </c>
      <c r="F27" s="11" t="inlineStr">
        <is>
          <t>Restaurant (licensed brand)</t>
        </is>
      </c>
      <c r="G27" s="11" t="inlineStr">
        <is>
          <t>Medium</t>
        </is>
      </c>
      <c r="H27" s="11" t="inlineStr">
        <is>
          <t>Locally owned under a loose brand license; owner usually handles own marketing</t>
        </is>
      </c>
      <c r="I27" s="11" t="inlineStr">
        <is>
          <t>High</t>
        </is>
      </c>
      <c r="J27" s="11" t="inlineStr">
        <is>
          <t>Grand opening + ribbon cutting Jul 2, 2026</t>
        </is>
      </c>
      <c r="K27" s="15" t="inlineStr">
        <is>
          <t>B</t>
        </is>
      </c>
      <c r="L27" s="11" t="inlineStr">
        <is>
          <t>Strong brand recognition, new location: Meta awareness + delivery-radius ads. Verify owner controls marketing</t>
        </is>
      </c>
      <c r="M27" s="11" t="inlineStr">
        <is>
          <t>https://www.facebook.com/groups/3446201918834296/posts/27390472233980596</t>
        </is>
      </c>
      <c r="N27" s="13" t="inlineStr">
        <is>
          <t>Not checked</t>
        </is>
      </c>
      <c r="O27" s="13" t="inlineStr">
        <is>
          <t>Not contacted</t>
        </is>
      </c>
      <c r="P27" s="13" t="n"/>
    </row>
    <row r="28">
      <c r="A28" s="11" t="inlineStr">
        <is>
          <t>L030</t>
        </is>
      </c>
      <c r="B28" s="11" t="inlineStr">
        <is>
          <t>RCK Law Firm</t>
        </is>
      </c>
      <c r="C28" s="14" t="inlineStr">
        <is>
          <t>rcklawfirm.com</t>
        </is>
      </c>
      <c r="D28" s="11" t="inlineStr">
        <is>
          <t>Joliet, IL</t>
        </is>
      </c>
      <c r="E28" s="11" t="inlineStr">
        <is>
          <t>unknown (small)</t>
        </is>
      </c>
      <c r="F28" s="11" t="inlineStr">
        <is>
          <t>Legal / personal injury + workers' comp</t>
        </is>
      </c>
      <c r="G28" s="11" t="inlineStr">
        <is>
          <t>High</t>
        </is>
      </c>
      <c r="H28" s="11" t="inlineStr">
        <is>
          <t>Local PI/workers' comp firm publishing Joliet-targeted content</t>
        </is>
      </c>
      <c r="I28" s="11" t="inlineStr">
        <is>
          <t>Medium</t>
        </is>
      </c>
      <c r="J28" s="11" t="inlineStr">
        <is>
          <t>Regular Joliet-specific blog content = already investing in marketing (likely SEO vendor)</t>
        </is>
      </c>
      <c r="K28" s="15" t="inlineStr">
        <is>
          <t>B</t>
        </is>
      </c>
      <c r="L28" s="11" t="inlineStr">
        <is>
          <t>They pay for SEO; pitch paid as the faster complement. Workers' comp around Will County warehouses is a sharp niche</t>
        </is>
      </c>
      <c r="M28" s="11" t="inlineStr">
        <is>
          <t>https://www.rcklawfirm.com/who-is-responsible-for-injuries-after-a-fall-on-commercial-property</t>
        </is>
      </c>
      <c r="N28" s="13" t="inlineStr">
        <is>
          <t>Not checked</t>
        </is>
      </c>
      <c r="O28" s="13" t="inlineStr">
        <is>
          <t>Not contacted</t>
        </is>
      </c>
      <c r="P28" s="13" t="n"/>
    </row>
    <row r="29">
      <c r="A29" s="11" t="inlineStr">
        <is>
          <t>L031</t>
        </is>
      </c>
      <c r="B29" s="11" t="inlineStr">
        <is>
          <t>Jordan Steele Law</t>
        </is>
      </c>
      <c r="C29" s="14" t="inlineStr">
        <is>
          <t>jordansteelelaw.com</t>
        </is>
      </c>
      <c r="D29" s="11" t="inlineStr">
        <is>
          <t>Joliet, IL</t>
        </is>
      </c>
      <c r="E29" s="11" t="inlineStr">
        <is>
          <t>unknown (small)</t>
        </is>
      </c>
      <c r="F29" s="11" t="inlineStr">
        <is>
          <t>Legal / family law + mediation</t>
        </is>
      </c>
      <c r="G29" s="11" t="inlineStr">
        <is>
          <t>High</t>
        </is>
      </c>
      <c r="H29" s="11" t="inlineStr">
        <is>
          <t>Local family law + mediation firm with free consults</t>
        </is>
      </c>
      <c r="I29" s="11" t="inlineStr">
        <is>
          <t>Low</t>
        </is>
      </c>
      <c r="J29" s="11" t="inlineStr">
        <is>
          <t>none found</t>
        </is>
      </c>
      <c r="K29" s="15" t="inlineStr">
        <is>
          <t>B</t>
        </is>
      </c>
      <c r="L29" s="11" t="inlineStr">
        <is>
          <t>Mediation is a cheaper search niche than 'divorce lawyer': Google Search for 'divorce mediation Joliet'</t>
        </is>
      </c>
      <c r="M29" s="11" t="inlineStr">
        <is>
          <t>https://www.jordansteelelaw.com/mediation</t>
        </is>
      </c>
      <c r="N29" s="13" t="inlineStr">
        <is>
          <t>Not checked</t>
        </is>
      </c>
      <c r="O29" s="13" t="inlineStr">
        <is>
          <t>Not contacted</t>
        </is>
      </c>
      <c r="P29" s="13" t="n"/>
    </row>
    <row r="30">
      <c r="A30" s="11" t="inlineStr">
        <is>
          <t>L020</t>
        </is>
      </c>
      <c r="B30" s="11" t="inlineStr">
        <is>
          <t>Staver Accident Injury Lawyers</t>
        </is>
      </c>
      <c r="C30" s="11" t="inlineStr">
        <is>
          <t>not verified</t>
        </is>
      </c>
      <c r="D30" s="11" t="inlineStr">
        <is>
          <t>Joliet, IL (81 N Chicago St)</t>
        </is>
      </c>
      <c r="E30" s="11" t="inlineStr">
        <is>
          <t>unknown (multi-office)</t>
        </is>
      </c>
      <c r="F30" s="11" t="inlineStr">
        <is>
          <t>Legal / personal injury</t>
        </is>
      </c>
      <c r="G30" s="11" t="inlineStr">
        <is>
          <t>Medium</t>
        </is>
      </c>
      <c r="H30" s="11" t="inlineStr">
        <is>
          <t>Multi-office regional firm, likely already has an agency</t>
        </is>
      </c>
      <c r="I30" s="11" t="inlineStr">
        <is>
          <t>Low</t>
        </is>
      </c>
      <c r="J30" s="11" t="inlineStr">
        <is>
          <t>none found</t>
        </is>
      </c>
      <c r="K30" s="16" t="inlineStr">
        <is>
          <t>C</t>
        </is>
      </c>
      <c r="L30" s="11" t="inlineStr">
        <is>
          <t>Only worth a shot with a specific audit finding on their current ads</t>
        </is>
      </c>
      <c r="M30" s="11" t="inlineStr">
        <is>
          <t>https://lawyers.uslegal.com/attorney/staver-accident-injury-lawyers-pc-59950089</t>
        </is>
      </c>
      <c r="N30" s="13" t="inlineStr">
        <is>
          <t>Not checked</t>
        </is>
      </c>
      <c r="O30" s="13" t="inlineStr">
        <is>
          <t>Not contacted</t>
        </is>
      </c>
      <c r="P30" s="13" t="n"/>
    </row>
    <row r="31">
      <c r="A31" s="11" t="inlineStr">
        <is>
          <t>L021</t>
        </is>
      </c>
      <c r="B31" s="11" t="inlineStr">
        <is>
          <t>Club Pilates New Lenox</t>
        </is>
      </c>
      <c r="C31" s="11" t="inlineStr">
        <is>
          <t>clubpilates.com (franchise)</t>
        </is>
      </c>
      <c r="D31" s="11" t="inlineStr">
        <is>
          <t>New Lenox, IL (1812 E Lincoln Hwy)</t>
        </is>
      </c>
      <c r="E31" s="11" t="inlineStr">
        <is>
          <t>unknown</t>
        </is>
      </c>
      <c r="F31" s="11" t="inlineStr">
        <is>
          <t>Fitness (franchise)</t>
        </is>
      </c>
      <c r="G31" s="11" t="inlineStr">
        <is>
          <t>Low</t>
        </is>
      </c>
      <c r="H31" s="11" t="inlineStr">
        <is>
          <t>Franchise; corporate typically controls paid media</t>
        </is>
      </c>
      <c r="I31" s="11" t="inlineStr">
        <is>
          <t>High</t>
        </is>
      </c>
      <c r="J31" s="11" t="inlineStr">
        <is>
          <t>Opening ~Jun 2026</t>
        </is>
      </c>
      <c r="K31" s="16" t="inlineStr">
        <is>
          <t>C</t>
        </is>
      </c>
      <c r="L31" s="11" t="inlineStr">
        <is>
          <t>Only if the franchisee runs local ads themselves. Ask before pitching</t>
        </is>
      </c>
      <c r="M31" s="11" t="inlineStr">
        <is>
          <t>https://shawlocal.com/the-herald-news/2026/06/07/these-news-businesses-coming-to-new-lenox-this-summer</t>
        </is>
      </c>
      <c r="N31" s="13" t="inlineStr">
        <is>
          <t>Not checked</t>
        </is>
      </c>
      <c r="O31" s="13" t="inlineStr">
        <is>
          <t>Not contacted</t>
        </is>
      </c>
      <c r="P31" s="13" t="n"/>
    </row>
    <row r="32">
      <c r="A32" s="11" t="inlineStr">
        <is>
          <t>L022</t>
        </is>
      </c>
      <c r="B32" s="11" t="inlineStr">
        <is>
          <t>Uni Uni Boba Joliet</t>
        </is>
      </c>
      <c r="C32" s="11" t="inlineStr">
        <is>
          <t>not verified</t>
        </is>
      </c>
      <c r="D32" s="11" t="inlineStr">
        <is>
          <t>Joliet, IL</t>
        </is>
      </c>
      <c r="E32" s="11" t="inlineStr">
        <is>
          <t>unknown</t>
        </is>
      </c>
      <c r="F32" s="11" t="inlineStr">
        <is>
          <t>Bubble tea (franchise)</t>
        </is>
      </c>
      <c r="G32" s="11" t="inlineStr">
        <is>
          <t>Low</t>
        </is>
      </c>
      <c r="H32" s="11" t="inlineStr">
        <is>
          <t>Franchise brand</t>
        </is>
      </c>
      <c r="I32" s="11" t="inlineStr">
        <is>
          <t>High</t>
        </is>
      </c>
      <c r="J32" s="11" t="inlineStr">
        <is>
          <t>Grand opening Apr 17 2026</t>
        </is>
      </c>
      <c r="K32" s="16" t="inlineStr">
        <is>
          <t>C</t>
        </is>
      </c>
      <c r="L32" s="11" t="inlineStr">
        <is>
          <t>Same as above. Franchisee ads only</t>
        </is>
      </c>
      <c r="M32" s="11" t="inlineStr">
        <is>
          <t>https://www.burbio.com/states/Illinois/Joliet/joliet-region-chamber-of-commerce-industry</t>
        </is>
      </c>
      <c r="N32" s="13" t="inlineStr">
        <is>
          <t>Not checked</t>
        </is>
      </c>
      <c r="O32" s="13" t="inlineStr">
        <is>
          <t>Not contacted</t>
        </is>
      </c>
      <c r="P32" s="13" t="n"/>
    </row>
    <row r="33">
      <c r="A33" s="11" t="inlineStr">
        <is>
          <t>L032</t>
        </is>
      </c>
      <c r="B33" s="11" t="inlineStr">
        <is>
          <t>Swig (Crest Hill)</t>
        </is>
      </c>
      <c r="C33" s="11" t="inlineStr">
        <is>
          <t>swigdrinks.com (franchise)</t>
        </is>
      </c>
      <c r="D33" s="11" t="inlineStr">
        <is>
          <t>Crest Hill, IL (1701 N Larkin Ave)</t>
        </is>
      </c>
      <c r="E33" s="11" t="inlineStr">
        <is>
          <t>unknown</t>
        </is>
      </c>
      <c r="F33" s="11" t="inlineStr">
        <is>
          <t>Drinks (franchise)</t>
        </is>
      </c>
      <c r="G33" s="11" t="inlineStr">
        <is>
          <t>Low</t>
        </is>
      </c>
      <c r="H33" s="11" t="inlineStr">
        <is>
          <t>Franchise; 13-unit development deal, corporate-led marketing likely</t>
        </is>
      </c>
      <c r="I33" s="11" t="inlineStr">
        <is>
          <t>High</t>
        </is>
      </c>
      <c r="J33" s="11" t="inlineStr">
        <is>
          <t>Opening 2026; Romeoville/Bolingbrook units in 2027</t>
        </is>
      </c>
      <c r="K33" s="16" t="inlineStr">
        <is>
          <t>C</t>
        </is>
      </c>
      <c r="L33" s="11" t="inlineStr">
        <is>
          <t>Only if the area developer runs local ads. A 13-unit operator could be a bigger account if so</t>
        </is>
      </c>
      <c r="M33" s="11" t="inlineStr">
        <is>
          <t>https://patch.com/illinois/joliet/dirty-soda-shop-coming-crest-hill-next-month</t>
        </is>
      </c>
      <c r="N33" s="13" t="inlineStr">
        <is>
          <t>Not checked</t>
        </is>
      </c>
      <c r="O33" s="13" t="inlineStr">
        <is>
          <t>Not contacted</t>
        </is>
      </c>
      <c r="P33" s="13" t="n"/>
    </row>
  </sheetData>
  <autoFilter ref="A1:P33"/>
  <dataValidations count="2">
    <dataValidation sqref="N2:N33" showDropDown="0" showInputMessage="0" showErrorMessage="0" allowBlank="1" type="list">
      <formula1>"Not checked,No ads,Bad ads,Good ads (skip)"</formula1>
    </dataValidation>
    <dataValidation sqref="O2:O33" showDropDown="0" showInputMessage="0" showErrorMessage="0" allowBlank="1" type="list">
      <formula1>"Not contacted,Contacted,Follow up,Meeting booked,Proposal sent,Won,Lost"</formula1>
    </dataValidation>
  </dataValidation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7" r:id="rId10"/>
    <hyperlink xmlns:r="http://schemas.openxmlformats.org/officeDocument/2006/relationships" ref="C25" r:id="rId11"/>
    <hyperlink xmlns:r="http://schemas.openxmlformats.org/officeDocument/2006/relationships" ref="C28" r:id="rId12"/>
    <hyperlink xmlns:r="http://schemas.openxmlformats.org/officeDocument/2006/relationships" ref="C29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2026-10-02T22:58:49Z</dcterms:created>
  <dcterms:modified xsi:type="dcterms:W3CDTF">2026-10-02T23:03:14Z</dcterms:modified>
</cp:coreProperties>
</file>